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<sst xmlns="http://schemas.openxmlformats.org/spreadsheetml/2006/main" uniqueCount="20">
  <si>
    <t>Table 1</t>
  </si>
  <si>
    <t>Del 31 de diciembre 2024 y 31 de diciembre 2023</t>
  </si>
  <si>
    <t>Estados de resultados (No auditados)</t>
  </si>
  <si>
    <t>2024 Diciembre</t>
  </si>
  <si>
    <t>2023 Diciembre</t>
  </si>
  <si>
    <t>Ventas netas</t>
  </si>
  <si>
    <t>$</t>
  </si>
  <si>
    <t>Otros Ingresos</t>
  </si>
  <si>
    <t>Costos y gastos:</t>
  </si>
  <si>
    <t>Costo de ventas</t>
  </si>
  <si>
    <t>Gastos de venta, administración y generales</t>
  </si>
  <si>
    <t>Utilidad (pérdida) de operación</t>
  </si>
  <si>
    <t>Resultado integral de financiamiento:</t>
  </si>
  <si>
    <t>Gastos por intereses</t>
  </si>
  <si>
    <t>(Pérdida) utilidad cambiaria</t>
  </si>
  <si>
    <t>Pérdida antes de impuestos</t>
  </si>
  <si>
    <t>Impuestos a la utilidad</t>
  </si>
  <si>
    <t>Pérdida neta</t>
  </si>
  <si>
    <t>Otros resultados integrales</t>
  </si>
  <si>
    <t>Pérdida integral neta del año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</si>
</sst>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 &quot;* #,##0&quot; &quot;;&quot; &quot;* (#,###0);&quot; &quot;* &quot; -  &quot;"/>
    <numFmt numFmtId="60" formatCode="&quot; &quot;* #,##0&quot; &quot;;&quot;-&quot;* #,##0&quot; &quot;;&quot; &quot;* &quot;-&quot;??&quot; &quot;"/>
    <numFmt numFmtId="61" formatCode="&quot; &quot;* #,##0.00&quot; &quot;;&quot;-&quot;* #,##0.00&quot; &quot;;&quot; &quot;* &quot;-&quot;??&quot; &quot;"/>
    <numFmt numFmtId="62" formatCode="#,##0&quot; &quot;;(#,##0)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Arial"/>
    </font>
    <font>
      <b val="1"/>
      <sz val="10"/>
      <color indexed="8"/>
      <name val="Times New Roman"/>
    </font>
    <font>
      <sz val="10"/>
      <color indexed="8"/>
      <name val="Times New Roman"/>
    </font>
    <font>
      <b val="1"/>
      <sz val="10"/>
      <color indexed="16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0" fontId="3" borderId="4" applyNumberFormat="0" applyFont="1" applyFill="0" applyBorder="1" applyAlignment="1" applyProtection="0">
      <alignment horizontal="right"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borderId="6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horizontal="center" vertical="top" wrapText="1"/>
    </xf>
    <xf numFmtId="1" fontId="4" borderId="7" applyNumberFormat="1" applyFont="1" applyFill="0" applyBorder="1" applyAlignment="1" applyProtection="0">
      <alignment horizontal="center" vertical="top" wrapText="1"/>
    </xf>
    <xf numFmtId="0" fontId="4" borderId="7" applyNumberFormat="0" applyFont="1" applyFill="0" applyBorder="1" applyAlignment="1" applyProtection="0">
      <alignment horizontal="center"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59" fontId="5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59" fontId="5" borderId="8" applyNumberFormat="1" applyFont="1" applyFill="0" applyBorder="1" applyAlignment="1" applyProtection="0">
      <alignment vertical="top" wrapText="1"/>
    </xf>
    <xf numFmtId="9" fontId="0" borderId="7" applyNumberFormat="1" applyFont="1" applyFill="0" applyBorder="1" applyAlignment="1" applyProtection="0">
      <alignment vertical="top" wrapText="1"/>
    </xf>
    <xf numFmtId="59" fontId="0" fillId="4" borderId="9" applyNumberFormat="1" applyFont="1" applyFill="1" applyBorder="1" applyAlignment="1" applyProtection="0">
      <alignment vertical="bottom"/>
    </xf>
    <xf numFmtId="59" fontId="5" borderId="9" applyNumberFormat="1" applyFont="1" applyFill="0" applyBorder="1" applyAlignment="1" applyProtection="0">
      <alignment vertical="top" wrapText="1"/>
    </xf>
    <xf numFmtId="59" fontId="0" fillId="5" borderId="7" applyNumberFormat="1" applyFont="1" applyFill="1" applyBorder="1" applyAlignment="1" applyProtection="0">
      <alignment vertical="bottom"/>
    </xf>
    <xf numFmtId="61" fontId="0" borderId="7" applyNumberFormat="1" applyFont="1" applyFill="0" applyBorder="1" applyAlignment="1" applyProtection="0">
      <alignment vertical="top" wrapText="1"/>
    </xf>
    <xf numFmtId="59" fontId="0" fillId="6" borderId="8" applyNumberFormat="1" applyFont="1" applyFill="1" applyBorder="1" applyAlignment="1" applyProtection="0">
      <alignment vertical="bottom"/>
    </xf>
    <xf numFmtId="59" fontId="0" borderId="9" applyNumberFormat="1" applyFont="1" applyFill="0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vertical="top" wrapText="1"/>
    </xf>
    <xf numFmtId="59" fontId="4" borderId="8" applyNumberFormat="1" applyFont="1" applyFill="0" applyBorder="1" applyAlignment="1" applyProtection="0">
      <alignment vertical="top" wrapText="1"/>
    </xf>
    <xf numFmtId="59" fontId="6" borderId="9" applyNumberFormat="1" applyFont="1" applyFill="0" applyBorder="1" applyAlignment="1" applyProtection="0">
      <alignment horizontal="center" vertical="top" wrapText="1"/>
    </xf>
    <xf numFmtId="0" fontId="5" borderId="7" applyNumberFormat="0" applyFont="1" applyFill="0" applyBorder="1" applyAlignment="1" applyProtection="0">
      <alignment horizontal="center" vertical="top" wrapText="1"/>
    </xf>
    <xf numFmtId="59" fontId="0" fillId="7" borderId="8" applyNumberFormat="1" applyFont="1" applyFill="1" applyBorder="1" applyAlignment="1" applyProtection="0">
      <alignment vertical="center"/>
    </xf>
    <xf numFmtId="0" fontId="0" fillId="7" borderId="7" applyNumberFormat="0" applyFont="1" applyFill="1" applyBorder="1" applyAlignment="1" applyProtection="0">
      <alignment vertical="center"/>
    </xf>
    <xf numFmtId="59" fontId="5" fillId="7" borderId="8" applyNumberFormat="1" applyFont="1" applyFill="1" applyBorder="1" applyAlignment="1" applyProtection="0">
      <alignment vertical="center"/>
    </xf>
    <xf numFmtId="59" fontId="5" borderId="10" applyNumberFormat="1" applyFont="1" applyFill="0" applyBorder="1" applyAlignment="1" applyProtection="0">
      <alignment horizontal="center" vertical="top" wrapText="1"/>
    </xf>
    <xf numFmtId="49" fontId="4" borderId="7" applyNumberFormat="1" applyFont="1" applyFill="0" applyBorder="1" applyAlignment="1" applyProtection="0">
      <alignment horizontal="right" vertical="top" wrapText="1"/>
    </xf>
    <xf numFmtId="62" fontId="4" borderId="10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6e9eb"/>
      <rgbColor rgb="fffae2d5"/>
      <rgbColor rgb="ffebd4e9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s="3"/>
      <c r="C2" s="3"/>
      <c r="D2" s="3"/>
      <c r="E2" s="3"/>
      <c r="F2" s="3"/>
      <c r="G2" s="3"/>
      <c r="H2" s="3"/>
    </row>
    <row r="3" ht="64.15" customHeight="1">
      <c r="A3" s="4"/>
      <c r="B3" t="s" s="5">
        <v>1</v>
      </c>
      <c r="C3" s="6"/>
      <c r="D3" s="7"/>
      <c r="E3" s="7"/>
      <c r="F3" s="7"/>
      <c r="G3" s="7"/>
      <c r="H3" s="7"/>
    </row>
    <row r="4" ht="49.95" customHeight="1">
      <c r="A4" s="8"/>
      <c r="B4" t="s" s="9">
        <v>2</v>
      </c>
      <c r="C4" s="10"/>
      <c r="D4" s="11"/>
      <c r="E4" s="11"/>
      <c r="F4" s="11"/>
      <c r="G4" s="11"/>
      <c r="H4" s="11"/>
    </row>
    <row r="5" ht="21.95" customHeight="1">
      <c r="A5" s="8"/>
      <c r="B5" s="12"/>
      <c r="C5" s="10"/>
      <c r="D5" s="11"/>
      <c r="E5" s="11"/>
      <c r="F5" s="11"/>
      <c r="G5" s="11"/>
      <c r="H5" s="11"/>
    </row>
    <row r="6" ht="20.05" customHeight="1">
      <c r="A6" s="8"/>
      <c r="B6" s="13"/>
      <c r="C6" s="11"/>
      <c r="D6" t="s" s="14">
        <v>3</v>
      </c>
      <c r="E6" s="15"/>
      <c r="F6" t="s" s="14">
        <v>4</v>
      </c>
      <c r="G6" s="16"/>
      <c r="H6" s="11"/>
    </row>
    <row r="7" ht="20.05" customHeight="1">
      <c r="A7" s="8"/>
      <c r="B7" s="13"/>
      <c r="C7" s="11"/>
      <c r="D7" s="11"/>
      <c r="E7" s="11"/>
      <c r="F7" s="11"/>
      <c r="G7" s="11"/>
      <c r="H7" s="11"/>
    </row>
    <row r="8" ht="20.05" customHeight="1">
      <c r="A8" s="8"/>
      <c r="B8" t="s" s="17">
        <v>5</v>
      </c>
      <c r="C8" t="s" s="18">
        <v>6</v>
      </c>
      <c r="D8" s="19">
        <v>840561188</v>
      </c>
      <c r="E8" t="s" s="18">
        <v>6</v>
      </c>
      <c r="F8" s="20">
        <v>822495316</v>
      </c>
      <c r="G8" s="21"/>
      <c r="H8" s="19" cm="1">
        <f t="array" ref="H8">D12+D8</f>
        <v>111098541</v>
      </c>
    </row>
    <row r="9" ht="20.35" customHeight="1">
      <c r="A9" s="8"/>
      <c r="B9" t="s" s="17">
        <v>7</v>
      </c>
      <c r="C9" s="11"/>
      <c r="D9" s="22">
        <v>17196416</v>
      </c>
      <c r="E9" s="11"/>
      <c r="F9" s="23">
        <v>12917881</v>
      </c>
      <c r="G9" s="21"/>
      <c r="H9" s="24" cm="1">
        <f t="array" ref="H9">H8/D8</f>
        <v>0.132171866350793</v>
      </c>
    </row>
    <row r="10" ht="20.35" customHeight="1">
      <c r="A10" s="8"/>
      <c r="B10" s="13"/>
      <c r="C10" s="11"/>
      <c r="D10" s="25" cm="1">
        <f t="array" ref="D10">SUM(D8:D9)</f>
        <v>857757604</v>
      </c>
      <c r="E10" s="11"/>
      <c r="F10" s="26" cm="1">
        <f t="array" ref="F10">SUM(F8:F9)</f>
        <v>835413197</v>
      </c>
      <c r="G10" s="21"/>
      <c r="H10" s="24"/>
    </row>
    <row r="11" ht="20.05" customHeight="1">
      <c r="A11" s="8"/>
      <c r="B11" t="s" s="17">
        <v>8</v>
      </c>
      <c r="C11" s="11"/>
      <c r="D11" s="19"/>
      <c r="E11" s="11"/>
      <c r="F11" s="20"/>
      <c r="G11" s="21"/>
      <c r="H11" s="24"/>
    </row>
    <row r="12" ht="20.05" customHeight="1">
      <c r="A12" s="8"/>
      <c r="B12" t="s" s="17">
        <v>9</v>
      </c>
      <c r="C12" s="11"/>
      <c r="D12" s="27">
        <v>-729462647</v>
      </c>
      <c r="E12" s="11"/>
      <c r="F12" s="20">
        <v>-803188777</v>
      </c>
      <c r="G12" s="21"/>
      <c r="H12" s="28"/>
    </row>
    <row r="13" ht="44.35" customHeight="1">
      <c r="A13" s="8"/>
      <c r="B13" t="s" s="17">
        <v>10</v>
      </c>
      <c r="C13" s="11"/>
      <c r="D13" s="29">
        <v>-78079852</v>
      </c>
      <c r="E13" s="11"/>
      <c r="F13" s="23">
        <v>-69009446</v>
      </c>
      <c r="G13" s="21"/>
      <c r="H13" s="24"/>
    </row>
    <row r="14" ht="20.35" customHeight="1">
      <c r="A14" s="8"/>
      <c r="B14" s="13"/>
      <c r="C14" s="11"/>
      <c r="D14" s="30" cm="1">
        <f t="array" ref="D14">SUM(D12:D13)</f>
        <v>-807542499</v>
      </c>
      <c r="E14" s="11"/>
      <c r="F14" s="26" cm="1">
        <f t="array" ref="F14">SUM(F12:F13)</f>
        <v>-872198223</v>
      </c>
      <c r="G14" s="21"/>
      <c r="H14" s="24"/>
    </row>
    <row r="15" ht="20.05" customHeight="1">
      <c r="A15" s="8"/>
      <c r="B15" s="13"/>
      <c r="C15" s="11"/>
      <c r="D15" s="19"/>
      <c r="E15" s="11"/>
      <c r="F15" s="20"/>
      <c r="G15" s="21"/>
      <c r="H15" s="24"/>
    </row>
    <row r="16" ht="32.35" customHeight="1">
      <c r="A16" s="8"/>
      <c r="B16" t="s" s="17">
        <v>11</v>
      </c>
      <c r="C16" s="11"/>
      <c r="D16" s="22" cm="1">
        <f t="array" ref="D16">D10+D14</f>
        <v>50215105</v>
      </c>
      <c r="E16" s="11"/>
      <c r="F16" s="23" cm="1">
        <f t="array" ref="F16">SUM(F10+F14)</f>
        <v>-36785026</v>
      </c>
      <c r="G16" s="21"/>
      <c r="H16" s="24"/>
    </row>
    <row r="17" ht="20.35" customHeight="1">
      <c r="A17" s="8"/>
      <c r="B17" s="13"/>
      <c r="C17" s="11"/>
      <c r="D17" s="30"/>
      <c r="E17" s="11"/>
      <c r="F17" s="26"/>
      <c r="G17" s="21"/>
      <c r="H17" s="24"/>
    </row>
    <row r="18" ht="32.05" customHeight="1">
      <c r="A18" s="8"/>
      <c r="B18" t="s" s="17">
        <v>12</v>
      </c>
      <c r="C18" s="11"/>
      <c r="D18" s="19"/>
      <c r="E18" s="11"/>
      <c r="F18" s="20"/>
      <c r="G18" s="21"/>
      <c r="H18" s="24"/>
    </row>
    <row r="19" ht="32.05" customHeight="1">
      <c r="A19" s="8"/>
      <c r="B19" t="s" s="17">
        <v>13</v>
      </c>
      <c r="C19" s="11"/>
      <c r="D19" s="19">
        <v>-20825716</v>
      </c>
      <c r="E19" s="11"/>
      <c r="F19" s="20">
        <v>-20185275</v>
      </c>
      <c r="G19" s="21"/>
      <c r="H19" s="11"/>
    </row>
    <row r="20" ht="32.35" customHeight="1">
      <c r="A20" s="8"/>
      <c r="B20" t="s" s="17">
        <v>14</v>
      </c>
      <c r="C20" s="11"/>
      <c r="D20" s="22">
        <v>-47280883</v>
      </c>
      <c r="E20" s="11"/>
      <c r="F20" s="23">
        <v>35563923</v>
      </c>
      <c r="G20" s="21"/>
      <c r="H20" s="11"/>
    </row>
    <row r="21" ht="20.35" customHeight="1">
      <c r="A21" s="8"/>
      <c r="B21" s="13"/>
      <c r="C21" s="11"/>
      <c r="D21" s="30" cm="1">
        <f t="array" ref="D21">SUM(D18:D20)</f>
        <v>-68106599</v>
      </c>
      <c r="E21" s="11"/>
      <c r="F21" s="26" cm="1">
        <f t="array" ref="F21">SUM(F18:F20)</f>
        <v>15378648</v>
      </c>
      <c r="G21" s="21"/>
      <c r="H21" s="11"/>
    </row>
    <row r="22" ht="20.05" customHeight="1">
      <c r="A22" s="8"/>
      <c r="B22" s="13"/>
      <c r="C22" s="11"/>
      <c r="D22" s="19"/>
      <c r="E22" s="11"/>
      <c r="F22" s="20"/>
      <c r="G22" s="21"/>
      <c r="H22" s="11"/>
    </row>
    <row r="23" ht="32.35" customHeight="1">
      <c r="A23" s="8"/>
      <c r="B23" t="s" s="17">
        <v>15</v>
      </c>
      <c r="C23" s="11"/>
      <c r="D23" s="22" cm="1">
        <f t="array" ref="D23">D21+D15</f>
        <v>-68106599</v>
      </c>
      <c r="E23" s="11"/>
      <c r="F23" s="23" cm="1">
        <f t="array" ref="F23">F21+F15</f>
        <v>15378648</v>
      </c>
      <c r="G23" s="21"/>
      <c r="H23" s="11"/>
    </row>
    <row r="24" ht="20.35" customHeight="1">
      <c r="A24" s="8"/>
      <c r="B24" s="13"/>
      <c r="C24" s="11"/>
      <c r="D24" s="30"/>
      <c r="E24" s="11"/>
      <c r="F24" s="26"/>
      <c r="G24" s="21"/>
      <c r="H24" s="11"/>
    </row>
    <row r="25" ht="32.35" customHeight="1">
      <c r="A25" s="8"/>
      <c r="B25" t="s" s="17">
        <v>16</v>
      </c>
      <c r="C25" s="11"/>
      <c r="D25" s="22">
        <v>-2666078</v>
      </c>
      <c r="E25" s="11"/>
      <c r="F25" s="23">
        <v>-4660774</v>
      </c>
      <c r="G25" s="21"/>
      <c r="H25" s="11"/>
    </row>
    <row r="26" ht="20.35" customHeight="1">
      <c r="A26" s="8"/>
      <c r="B26" s="13"/>
      <c r="C26" s="11"/>
      <c r="D26" s="30"/>
      <c r="E26" s="11"/>
      <c r="F26" s="26"/>
      <c r="G26" s="21"/>
      <c r="H26" s="11"/>
    </row>
    <row r="27" ht="20.35" customHeight="1">
      <c r="A27" s="8"/>
      <c r="B27" t="s" s="31">
        <v>17</v>
      </c>
      <c r="C27" s="11"/>
      <c r="D27" s="32" cm="1">
        <f t="array" ref="D27">D23+D25</f>
        <v>-70772677</v>
      </c>
      <c r="E27" s="11"/>
      <c r="F27" s="32" cm="1">
        <f t="array" ref="F27">F23+F25</f>
        <v>10717874</v>
      </c>
      <c r="G27" s="21"/>
      <c r="H27" s="11"/>
    </row>
    <row r="28" ht="20.35" customHeight="1">
      <c r="A28" s="8"/>
      <c r="B28" s="13"/>
      <c r="C28" s="11"/>
      <c r="D28" s="33"/>
      <c r="E28" s="34"/>
      <c r="F28" s="33"/>
      <c r="G28" s="21"/>
      <c r="H28" s="11"/>
    </row>
    <row r="29" ht="32.35" customHeight="1">
      <c r="A29" s="8"/>
      <c r="B29" t="s" s="17">
        <v>18</v>
      </c>
      <c r="C29" s="11"/>
      <c r="D29" s="35">
        <v>-452532</v>
      </c>
      <c r="E29" s="36"/>
      <c r="F29" s="37">
        <v>-676527</v>
      </c>
      <c r="G29" s="21"/>
      <c r="H29" s="11"/>
    </row>
    <row r="30" ht="20.7" customHeight="1">
      <c r="A30" s="8"/>
      <c r="B30" s="13"/>
      <c r="C30" s="11"/>
      <c r="D30" s="38"/>
      <c r="E30" s="34"/>
      <c r="F30" s="38"/>
      <c r="G30" s="21"/>
      <c r="H30" s="11"/>
    </row>
    <row r="31" ht="30.55" customHeight="1">
      <c r="A31" s="8"/>
      <c r="B31" t="s" s="31">
        <v>19</v>
      </c>
      <c r="C31" t="s" s="39">
        <v>6</v>
      </c>
      <c r="D31" s="40" cm="1">
        <f t="array" ref="D31">D27+D29</f>
        <v>-71225209</v>
      </c>
      <c r="E31" t="s" s="41">
        <v>6</v>
      </c>
      <c r="F31" s="40" cm="1">
        <f t="array" ref="F31">SUM(F27+F29)</f>
        <v>10041347</v>
      </c>
      <c r="G31" s="21"/>
      <c r="H31" s="11"/>
    </row>
    <row r="32" ht="20.35" customHeight="1">
      <c r="A32" s="8"/>
      <c r="B32" s="13"/>
      <c r="C32" s="11"/>
      <c r="D32" s="42"/>
      <c r="E32" s="11"/>
      <c r="F32" s="42"/>
      <c r="G32" s="11"/>
      <c r="H32" s="11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